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aron\Documents\Most up to date resumes\"/>
    </mc:Choice>
  </mc:AlternateContent>
  <bookViews>
    <workbookView xWindow="0" yWindow="0" windowWidth="18030" windowHeight="6630"/>
  </bookViews>
  <sheets>
    <sheet name="Background Information" sheetId="2" r:id="rId1"/>
    <sheet name="Home" sheetId="1" r:id="rId2"/>
    <sheet name="Calculations" sheetId="3" r:id="rId3"/>
    <sheet name="Graph Calculations" sheetId="4" state="hidden" r:id="rId4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8" i="3" l="1"/>
  <c r="E18" i="1" l="1"/>
  <c r="F19" i="1" l="1"/>
  <c r="E19" i="1"/>
  <c r="D19" i="1"/>
  <c r="F18" i="1"/>
  <c r="D18" i="1"/>
  <c r="C18" i="1"/>
  <c r="F17" i="1"/>
  <c r="E17" i="1"/>
  <c r="D17" i="1"/>
  <c r="C17" i="1"/>
  <c r="N26" i="1"/>
  <c r="M26" i="1"/>
  <c r="L26" i="1"/>
  <c r="K26" i="1"/>
  <c r="N25" i="1"/>
  <c r="M25" i="1"/>
  <c r="L25" i="1"/>
  <c r="K25" i="1"/>
  <c r="N24" i="1"/>
  <c r="M24" i="1"/>
  <c r="L24" i="1"/>
  <c r="K24" i="1"/>
  <c r="N23" i="1"/>
  <c r="M23" i="1"/>
  <c r="L23" i="1"/>
  <c r="K23" i="1"/>
  <c r="N22" i="1"/>
  <c r="M22" i="1"/>
  <c r="L22" i="1"/>
  <c r="K22" i="1"/>
  <c r="N21" i="1"/>
  <c r="M21" i="1"/>
  <c r="L21" i="1"/>
  <c r="K21" i="1"/>
  <c r="N20" i="1"/>
  <c r="M20" i="1"/>
  <c r="L20" i="1"/>
  <c r="K20" i="1"/>
  <c r="N19" i="1"/>
  <c r="M19" i="1"/>
  <c r="L19" i="1"/>
  <c r="K19" i="1"/>
  <c r="N18" i="1"/>
  <c r="M18" i="1"/>
  <c r="L18" i="1"/>
  <c r="K18" i="1"/>
  <c r="N17" i="1"/>
  <c r="M17" i="1"/>
  <c r="L17" i="1"/>
  <c r="K17" i="1"/>
  <c r="F26" i="1"/>
  <c r="E26" i="1"/>
  <c r="D26" i="1"/>
  <c r="C26" i="1"/>
  <c r="F25" i="1"/>
  <c r="E25" i="1"/>
  <c r="D25" i="1"/>
  <c r="C25" i="1"/>
  <c r="F24" i="1"/>
  <c r="E24" i="1"/>
  <c r="D24" i="1"/>
  <c r="C24" i="1"/>
  <c r="F23" i="1"/>
  <c r="E23" i="1"/>
  <c r="D23" i="1"/>
  <c r="C23" i="1"/>
  <c r="F22" i="1"/>
  <c r="E22" i="1"/>
  <c r="D22" i="1"/>
  <c r="C22" i="1"/>
  <c r="F21" i="1"/>
  <c r="E21" i="1"/>
  <c r="D21" i="1"/>
  <c r="C21" i="1"/>
  <c r="F20" i="1"/>
  <c r="E20" i="1"/>
  <c r="D20" i="1"/>
  <c r="C20" i="1"/>
  <c r="C19" i="1"/>
  <c r="H3" i="3"/>
  <c r="I3" i="3" s="1"/>
  <c r="I8" i="3"/>
  <c r="C11" i="1" s="1"/>
  <c r="O17" i="1" l="1"/>
  <c r="O19" i="1"/>
  <c r="O18" i="1"/>
  <c r="O22" i="1"/>
  <c r="O26" i="1"/>
  <c r="O21" i="1"/>
  <c r="O23" i="1"/>
  <c r="O25" i="1"/>
  <c r="O20" i="1"/>
  <c r="O24" i="1"/>
  <c r="H18" i="3"/>
  <c r="H13" i="3"/>
  <c r="D11" i="1" l="1"/>
  <c r="B29" i="3" s="1"/>
  <c r="I13" i="3"/>
  <c r="E11" i="1"/>
  <c r="B30" i="3" s="1"/>
  <c r="I18" i="3"/>
  <c r="B28" i="3"/>
  <c r="C12" i="1" s="1"/>
  <c r="E12" i="1"/>
  <c r="B11" i="1" l="1"/>
  <c r="B27" i="3" s="1"/>
  <c r="B12" i="1" s="1"/>
  <c r="D12" i="1" l="1"/>
</calcChain>
</file>

<file path=xl/sharedStrings.xml><?xml version="1.0" encoding="utf-8"?>
<sst xmlns="http://schemas.openxmlformats.org/spreadsheetml/2006/main" count="151" uniqueCount="67">
  <si>
    <t>UNIT PRICE</t>
  </si>
  <si>
    <t>Charizard</t>
  </si>
  <si>
    <t>Blastoise</t>
  </si>
  <si>
    <t>Caterpie</t>
  </si>
  <si>
    <t>Charmander</t>
  </si>
  <si>
    <t>Beedrill</t>
  </si>
  <si>
    <t>UNIT COST</t>
  </si>
  <si>
    <t>OUTPUT</t>
  </si>
  <si>
    <t>Predicted Quantity Sold</t>
  </si>
  <si>
    <t>b1</t>
  </si>
  <si>
    <t>Q1</t>
  </si>
  <si>
    <t>bo</t>
  </si>
  <si>
    <t>b2</t>
  </si>
  <si>
    <t>b3</t>
  </si>
  <si>
    <t>b4</t>
  </si>
  <si>
    <t>b5</t>
  </si>
  <si>
    <t>Q2</t>
  </si>
  <si>
    <t>Q3</t>
  </si>
  <si>
    <t>Q4</t>
  </si>
  <si>
    <t>log10</t>
  </si>
  <si>
    <t>ln</t>
  </si>
  <si>
    <t>Predicted</t>
  </si>
  <si>
    <t>Transformation</t>
  </si>
  <si>
    <t>*What you would like to charge</t>
  </si>
  <si>
    <t>*What we predict you will sell based on prices given</t>
  </si>
  <si>
    <t>Trial 1</t>
  </si>
  <si>
    <t>Trial 2</t>
  </si>
  <si>
    <t>Trial 3</t>
  </si>
  <si>
    <t>Trial 4</t>
  </si>
  <si>
    <t>Profit</t>
  </si>
  <si>
    <t>*What you buy it at</t>
  </si>
  <si>
    <t>Trial 5</t>
  </si>
  <si>
    <t>Trial 6</t>
  </si>
  <si>
    <t>Trial 7</t>
  </si>
  <si>
    <t>Trial 8</t>
  </si>
  <si>
    <t>Trial 9</t>
  </si>
  <si>
    <t>Trial 10</t>
  </si>
  <si>
    <t>TRACK PREDICTED QUANTITY</t>
  </si>
  <si>
    <t>Predicted Profit</t>
  </si>
  <si>
    <t>*What we predict you will profit from these brands based on price and cost</t>
  </si>
  <si>
    <t>TRACK PREDICTED PROFIT</t>
  </si>
  <si>
    <t>Background</t>
  </si>
  <si>
    <t>How To Use</t>
  </si>
  <si>
    <r>
      <t>ORANGE is used for cells that</t>
    </r>
    <r>
      <rPr>
        <b/>
        <sz val="11"/>
        <color theme="1"/>
        <rFont val="Calibri"/>
        <family val="2"/>
        <scheme val="minor"/>
      </rPr>
      <t xml:space="preserve"> need an input</t>
    </r>
  </si>
  <si>
    <r>
      <t xml:space="preserve">GREEN is used for cells that will </t>
    </r>
    <r>
      <rPr>
        <b/>
        <sz val="11"/>
        <color theme="1"/>
        <rFont val="Calibri"/>
        <family val="2"/>
        <scheme val="minor"/>
      </rPr>
      <t>give you an answer</t>
    </r>
  </si>
  <si>
    <t>*This will show you predicted values based on inputs</t>
  </si>
  <si>
    <t>TOTAL</t>
  </si>
  <si>
    <t>1. This prototype is only for the averaged price and cost for all flavors for Charizard, Blastoise, Caterpie, Charmander, and Beedrill</t>
  </si>
  <si>
    <r>
      <t xml:space="preserve">BLUE saves the trials after </t>
    </r>
    <r>
      <rPr>
        <b/>
        <sz val="11"/>
        <color theme="1"/>
        <rFont val="Calibri"/>
        <family val="2"/>
        <scheme val="minor"/>
      </rPr>
      <t>using the TRACK TRIAL button</t>
    </r>
  </si>
  <si>
    <t>Components In The Document</t>
  </si>
  <si>
    <r>
      <rPr>
        <b/>
        <sz val="11"/>
        <color theme="1"/>
        <rFont val="Calibri"/>
        <family val="2"/>
        <scheme val="minor"/>
      </rPr>
      <t>Track Trial button:</t>
    </r>
    <r>
      <rPr>
        <sz val="11"/>
        <color theme="1"/>
        <rFont val="Calibri"/>
        <family val="2"/>
        <scheme val="minor"/>
      </rPr>
      <t xml:space="preserve"> The only way to save the information from the trial you just ran</t>
    </r>
  </si>
  <si>
    <r>
      <rPr>
        <b/>
        <sz val="11"/>
        <color theme="1"/>
        <rFont val="Calibri"/>
        <family val="2"/>
        <scheme val="minor"/>
      </rPr>
      <t>Clear Tracking:</t>
    </r>
    <r>
      <rPr>
        <sz val="11"/>
        <color theme="1"/>
        <rFont val="Calibri"/>
        <family val="2"/>
        <scheme val="minor"/>
      </rPr>
      <t xml:space="preserve"> The only way to clear your graphs and start again</t>
    </r>
  </si>
  <si>
    <t>1. Input values in the ORANGE cells</t>
  </si>
  <si>
    <t>2. View the output in the GREEN cells</t>
  </si>
  <si>
    <t>3. If you want to keep that trial and test it against different trials, press the track trial button</t>
  </si>
  <si>
    <t>4. Repeat the process (steps 1-3) by changing inputs in the ORANGE cells or clear the tracking if you are done</t>
  </si>
  <si>
    <t>How to Update The Calculations</t>
  </si>
  <si>
    <t>2. Run the SAS code to AGGREGATE the data</t>
  </si>
  <si>
    <t>1. Run the FORMATTING R code to limit the data to what you need</t>
  </si>
  <si>
    <t>3. Run the MLR R code to find the REGRESSION WEIGHTS</t>
  </si>
  <si>
    <t>4. INPUT the weights to the Calculations tab</t>
  </si>
  <si>
    <t>5. Then you can use prototype again with updated information</t>
  </si>
  <si>
    <t>6. There is more thorough documentation if you get stuck in the full docmentation paper</t>
  </si>
  <si>
    <t>Prototype for Store #____</t>
  </si>
  <si>
    <t>0. This prototype is ONLY FOR one store</t>
  </si>
  <si>
    <t>2. Unit Price is the average unit price of all flavors for that brand. Unit Cost is the average unit cost of all flavors of that brand.</t>
  </si>
  <si>
    <t>3. The calculations will output predicted quantity (the total number of units you will sell in a given day) and predicted profit (for that given day)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</si>
</sst>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(&quot;$&quot;* #,##0.00_);_(&quot;$&quot;* \(#,##0.00\);_(&quot;$&quot;* &quot;-&quot;??_);_(@_)"/>
    <numFmt numFmtId="164" formatCode="&quot;$&quot;#,##0.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4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22">
    <xf numFmtId="0" fontId="0" fillId="0" borderId="0" xfId="0"/>
    <xf numFmtId="0" fontId="0" fillId="0" borderId="0" xfId="0" applyAlignment="1">
      <alignment wrapText="1"/>
    </xf>
    <xf numFmtId="0" fontId="0" fillId="2" borderId="0" xfId="0" applyFill="1"/>
    <xf numFmtId="0" fontId="0" fillId="0" borderId="1" xfId="0" applyBorder="1"/>
    <xf numFmtId="0" fontId="0" fillId="3" borderId="1" xfId="0" applyFill="1" applyBorder="1"/>
    <xf numFmtId="0" fontId="1" fillId="0" borderId="0" xfId="0" applyFont="1"/>
    <xf numFmtId="0" fontId="1" fillId="0" borderId="1" xfId="0" applyFont="1" applyBorder="1"/>
    <xf numFmtId="1" fontId="0" fillId="4" borderId="1" xfId="0" applyNumberFormat="1" applyFont="1" applyFill="1" applyBorder="1" applyAlignment="1">
      <alignment horizontal="center" vertical="center"/>
    </xf>
    <xf numFmtId="0" fontId="0" fillId="3" borderId="0" xfId="0" applyFill="1"/>
    <xf numFmtId="0" fontId="0" fillId="0" borderId="1" xfId="0" applyFill="1" applyBorder="1"/>
    <xf numFmtId="0" fontId="0" fillId="5" borderId="0" xfId="0" applyFill="1"/>
    <xf numFmtId="0" fontId="1" fillId="5" borderId="0" xfId="0" applyFont="1" applyFill="1"/>
    <xf numFmtId="0" fontId="0" fillId="6" borderId="0" xfId="0" applyFill="1"/>
    <xf numFmtId="0" fontId="0" fillId="7" borderId="0" xfId="0" applyFill="1"/>
    <xf numFmtId="0" fontId="0" fillId="0" borderId="0" xfId="0" applyBorder="1"/>
    <xf numFmtId="0" fontId="0" fillId="0" borderId="0" xfId="0" applyFill="1" applyBorder="1"/>
    <xf numFmtId="164" fontId="0" fillId="4" borderId="1" xfId="1" applyNumberFormat="1" applyFont="1" applyFill="1" applyBorder="1" applyAlignment="1">
      <alignment horizontal="center" vertical="center"/>
    </xf>
    <xf numFmtId="0" fontId="1" fillId="0" borderId="3" xfId="0" applyFont="1" applyFill="1" applyBorder="1"/>
    <xf numFmtId="0" fontId="0" fillId="0" borderId="3" xfId="0" applyBorder="1"/>
    <xf numFmtId="0" fontId="0" fillId="0" borderId="2" xfId="0" applyBorder="1"/>
    <xf numFmtId="0" fontId="0" fillId="0" borderId="0" xfId="0" applyAlignment="1"/>
    <xf numFmtId="0" fontId="4" fillId="0" borderId="0" xfId="0" applyFont="1" applyAlignment="1">
      <alignment horizontal="center"/>
    </xf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Track Predicted Quantities By Trial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Home!$C$16</c:f>
              <c:strCache>
                <c:ptCount val="1"/>
                <c:pt idx="0">
                  <c:v>Charizard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Home!$B$17:$B$26</c:f>
              <c:strCache>
                <c:ptCount val="10"/>
                <c:pt idx="0">
                  <c:v>Trial 1</c:v>
                </c:pt>
                <c:pt idx="1">
                  <c:v>Trial 2</c:v>
                </c:pt>
                <c:pt idx="2">
                  <c:v>Trial 3</c:v>
                </c:pt>
                <c:pt idx="3">
                  <c:v>Trial 4</c:v>
                </c:pt>
                <c:pt idx="4">
                  <c:v>Trial 5</c:v>
                </c:pt>
                <c:pt idx="5">
                  <c:v>Trial 6</c:v>
                </c:pt>
                <c:pt idx="6">
                  <c:v>Trial 7</c:v>
                </c:pt>
                <c:pt idx="7">
                  <c:v>Trial 8</c:v>
                </c:pt>
                <c:pt idx="8">
                  <c:v>Trial 9</c:v>
                </c:pt>
                <c:pt idx="9">
                  <c:v>Trial 10</c:v>
                </c:pt>
              </c:strCache>
            </c:strRef>
          </c:cat>
          <c:val>
            <c:numRef>
              <c:f>Home!$C$17:$C$26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ser>
          <c:idx val="1"/>
          <c:order val="1"/>
          <c:tx>
            <c:strRef>
              <c:f>Home!$D$16</c:f>
              <c:strCache>
                <c:ptCount val="1"/>
                <c:pt idx="0">
                  <c:v>Blastoise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Home!$B$17:$B$26</c:f>
              <c:strCache>
                <c:ptCount val="10"/>
                <c:pt idx="0">
                  <c:v>Trial 1</c:v>
                </c:pt>
                <c:pt idx="1">
                  <c:v>Trial 2</c:v>
                </c:pt>
                <c:pt idx="2">
                  <c:v>Trial 3</c:v>
                </c:pt>
                <c:pt idx="3">
                  <c:v>Trial 4</c:v>
                </c:pt>
                <c:pt idx="4">
                  <c:v>Trial 5</c:v>
                </c:pt>
                <c:pt idx="5">
                  <c:v>Trial 6</c:v>
                </c:pt>
                <c:pt idx="6">
                  <c:v>Trial 7</c:v>
                </c:pt>
                <c:pt idx="7">
                  <c:v>Trial 8</c:v>
                </c:pt>
                <c:pt idx="8">
                  <c:v>Trial 9</c:v>
                </c:pt>
                <c:pt idx="9">
                  <c:v>Trial 10</c:v>
                </c:pt>
              </c:strCache>
            </c:strRef>
          </c:cat>
          <c:val>
            <c:numRef>
              <c:f>Home!$D$17:$D$26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ser>
          <c:idx val="2"/>
          <c:order val="2"/>
          <c:tx>
            <c:strRef>
              <c:f>Home!$E$16</c:f>
              <c:strCache>
                <c:ptCount val="1"/>
                <c:pt idx="0">
                  <c:v>Caterpie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Home!$B$17:$B$26</c:f>
              <c:strCache>
                <c:ptCount val="10"/>
                <c:pt idx="0">
                  <c:v>Trial 1</c:v>
                </c:pt>
                <c:pt idx="1">
                  <c:v>Trial 2</c:v>
                </c:pt>
                <c:pt idx="2">
                  <c:v>Trial 3</c:v>
                </c:pt>
                <c:pt idx="3">
                  <c:v>Trial 4</c:v>
                </c:pt>
                <c:pt idx="4">
                  <c:v>Trial 5</c:v>
                </c:pt>
                <c:pt idx="5">
                  <c:v>Trial 6</c:v>
                </c:pt>
                <c:pt idx="6">
                  <c:v>Trial 7</c:v>
                </c:pt>
                <c:pt idx="7">
                  <c:v>Trial 8</c:v>
                </c:pt>
                <c:pt idx="8">
                  <c:v>Trial 9</c:v>
                </c:pt>
                <c:pt idx="9">
                  <c:v>Trial 10</c:v>
                </c:pt>
              </c:strCache>
            </c:strRef>
          </c:cat>
          <c:val>
            <c:numRef>
              <c:f>Home!$E$17:$E$26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ser>
          <c:idx val="3"/>
          <c:order val="3"/>
          <c:tx>
            <c:strRef>
              <c:f>Home!$F$16</c:f>
              <c:strCache>
                <c:ptCount val="1"/>
                <c:pt idx="0">
                  <c:v>Charmander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Home!$B$17:$B$26</c:f>
              <c:strCache>
                <c:ptCount val="10"/>
                <c:pt idx="0">
                  <c:v>Trial 1</c:v>
                </c:pt>
                <c:pt idx="1">
                  <c:v>Trial 2</c:v>
                </c:pt>
                <c:pt idx="2">
                  <c:v>Trial 3</c:v>
                </c:pt>
                <c:pt idx="3">
                  <c:v>Trial 4</c:v>
                </c:pt>
                <c:pt idx="4">
                  <c:v>Trial 5</c:v>
                </c:pt>
                <c:pt idx="5">
                  <c:v>Trial 6</c:v>
                </c:pt>
                <c:pt idx="6">
                  <c:v>Trial 7</c:v>
                </c:pt>
                <c:pt idx="7">
                  <c:v>Trial 8</c:v>
                </c:pt>
                <c:pt idx="8">
                  <c:v>Trial 9</c:v>
                </c:pt>
                <c:pt idx="9">
                  <c:v>Trial 10</c:v>
                </c:pt>
              </c:strCache>
            </c:strRef>
          </c:cat>
          <c:val>
            <c:numRef>
              <c:f>Home!$F$17:$F$26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84169312"/>
        <c:axId val="-84166592"/>
      </c:barChart>
      <c:catAx>
        <c:axId val="-84169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4166592"/>
        <c:crosses val="autoZero"/>
        <c:auto val="1"/>
        <c:lblAlgn val="ctr"/>
        <c:lblOffset val="100"/>
        <c:noMultiLvlLbl val="0"/>
      </c:catAx>
      <c:valAx>
        <c:axId val="-84166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4169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Track</a:t>
            </a:r>
            <a:r>
              <a:rPr lang="en-US" baseline="0"/>
              <a:t> Predicted Profit by Trial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Home!$K$16</c:f>
              <c:strCache>
                <c:ptCount val="1"/>
                <c:pt idx="0">
                  <c:v>Charizard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Home!$J$17:$J$26</c:f>
              <c:strCache>
                <c:ptCount val="10"/>
                <c:pt idx="0">
                  <c:v>Trial 1</c:v>
                </c:pt>
                <c:pt idx="1">
                  <c:v>Trial 2</c:v>
                </c:pt>
                <c:pt idx="2">
                  <c:v>Trial 3</c:v>
                </c:pt>
                <c:pt idx="3">
                  <c:v>Trial 4</c:v>
                </c:pt>
                <c:pt idx="4">
                  <c:v>Trial 5</c:v>
                </c:pt>
                <c:pt idx="5">
                  <c:v>Trial 6</c:v>
                </c:pt>
                <c:pt idx="6">
                  <c:v>Trial 7</c:v>
                </c:pt>
                <c:pt idx="7">
                  <c:v>Trial 8</c:v>
                </c:pt>
                <c:pt idx="8">
                  <c:v>Trial 9</c:v>
                </c:pt>
                <c:pt idx="9">
                  <c:v>Trial 10</c:v>
                </c:pt>
              </c:strCache>
            </c:strRef>
          </c:cat>
          <c:val>
            <c:numRef>
              <c:f>Home!$K$17:$K$26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ser>
          <c:idx val="1"/>
          <c:order val="1"/>
          <c:tx>
            <c:strRef>
              <c:f>Home!$L$16</c:f>
              <c:strCache>
                <c:ptCount val="1"/>
                <c:pt idx="0">
                  <c:v>Blastoise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Home!$J$17:$J$26</c:f>
              <c:strCache>
                <c:ptCount val="10"/>
                <c:pt idx="0">
                  <c:v>Trial 1</c:v>
                </c:pt>
                <c:pt idx="1">
                  <c:v>Trial 2</c:v>
                </c:pt>
                <c:pt idx="2">
                  <c:v>Trial 3</c:v>
                </c:pt>
                <c:pt idx="3">
                  <c:v>Trial 4</c:v>
                </c:pt>
                <c:pt idx="4">
                  <c:v>Trial 5</c:v>
                </c:pt>
                <c:pt idx="5">
                  <c:v>Trial 6</c:v>
                </c:pt>
                <c:pt idx="6">
                  <c:v>Trial 7</c:v>
                </c:pt>
                <c:pt idx="7">
                  <c:v>Trial 8</c:v>
                </c:pt>
                <c:pt idx="8">
                  <c:v>Trial 9</c:v>
                </c:pt>
                <c:pt idx="9">
                  <c:v>Trial 10</c:v>
                </c:pt>
              </c:strCache>
            </c:strRef>
          </c:cat>
          <c:val>
            <c:numRef>
              <c:f>Home!$L$17:$L$26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ser>
          <c:idx val="2"/>
          <c:order val="2"/>
          <c:tx>
            <c:strRef>
              <c:f>Home!$M$16</c:f>
              <c:strCache>
                <c:ptCount val="1"/>
                <c:pt idx="0">
                  <c:v>Caterpie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Home!$J$17:$J$26</c:f>
              <c:strCache>
                <c:ptCount val="10"/>
                <c:pt idx="0">
                  <c:v>Trial 1</c:v>
                </c:pt>
                <c:pt idx="1">
                  <c:v>Trial 2</c:v>
                </c:pt>
                <c:pt idx="2">
                  <c:v>Trial 3</c:v>
                </c:pt>
                <c:pt idx="3">
                  <c:v>Trial 4</c:v>
                </c:pt>
                <c:pt idx="4">
                  <c:v>Trial 5</c:v>
                </c:pt>
                <c:pt idx="5">
                  <c:v>Trial 6</c:v>
                </c:pt>
                <c:pt idx="6">
                  <c:v>Trial 7</c:v>
                </c:pt>
                <c:pt idx="7">
                  <c:v>Trial 8</c:v>
                </c:pt>
                <c:pt idx="8">
                  <c:v>Trial 9</c:v>
                </c:pt>
                <c:pt idx="9">
                  <c:v>Trial 10</c:v>
                </c:pt>
              </c:strCache>
            </c:strRef>
          </c:cat>
          <c:val>
            <c:numRef>
              <c:f>Home!$M$17:$M$26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ser>
          <c:idx val="3"/>
          <c:order val="3"/>
          <c:tx>
            <c:strRef>
              <c:f>Home!$N$16</c:f>
              <c:strCache>
                <c:ptCount val="1"/>
                <c:pt idx="0">
                  <c:v>Charmander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Home!$J$17:$J$26</c:f>
              <c:strCache>
                <c:ptCount val="10"/>
                <c:pt idx="0">
                  <c:v>Trial 1</c:v>
                </c:pt>
                <c:pt idx="1">
                  <c:v>Trial 2</c:v>
                </c:pt>
                <c:pt idx="2">
                  <c:v>Trial 3</c:v>
                </c:pt>
                <c:pt idx="3">
                  <c:v>Trial 4</c:v>
                </c:pt>
                <c:pt idx="4">
                  <c:v>Trial 5</c:v>
                </c:pt>
                <c:pt idx="5">
                  <c:v>Trial 6</c:v>
                </c:pt>
                <c:pt idx="6">
                  <c:v>Trial 7</c:v>
                </c:pt>
                <c:pt idx="7">
                  <c:v>Trial 8</c:v>
                </c:pt>
                <c:pt idx="8">
                  <c:v>Trial 9</c:v>
                </c:pt>
                <c:pt idx="9">
                  <c:v>Trial 10</c:v>
                </c:pt>
              </c:strCache>
            </c:strRef>
          </c:cat>
          <c:val>
            <c:numRef>
              <c:f>Home!$N$17:$N$26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84167680"/>
        <c:axId val="-84179648"/>
      </c:barChart>
      <c:catAx>
        <c:axId val="-84167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4179648"/>
        <c:crosses val="autoZero"/>
        <c:auto val="1"/>
        <c:lblAlgn val="ctr"/>
        <c:lblOffset val="100"/>
        <c:noMultiLvlLbl val="0"/>
      </c:catAx>
      <c:valAx>
        <c:axId val="-84179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4167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27</xdr:row>
      <xdr:rowOff>14286</xdr:rowOff>
    </xdr:from>
    <xdr:to>
      <xdr:col>7</xdr:col>
      <xdr:colOff>601980</xdr:colOff>
      <xdr:row>43</xdr:row>
      <xdr:rowOff>175259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152400</xdr:colOff>
          <xdr:row>7</xdr:row>
          <xdr:rowOff>66675</xdr:rowOff>
        </xdr:from>
        <xdr:to>
          <xdr:col>9</xdr:col>
          <xdr:colOff>219075</xdr:colOff>
          <xdr:row>9</xdr:row>
          <xdr:rowOff>57150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Track Trial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7</xdr:row>
          <xdr:rowOff>47625</xdr:rowOff>
        </xdr:from>
        <xdr:to>
          <xdr:col>12</xdr:col>
          <xdr:colOff>381000</xdr:colOff>
          <xdr:row>9</xdr:row>
          <xdr:rowOff>57150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Tracking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1904</xdr:colOff>
      <xdr:row>27</xdr:row>
      <xdr:rowOff>25716</xdr:rowOff>
    </xdr:from>
    <xdr:to>
      <xdr:col>16</xdr:col>
      <xdr:colOff>594359</xdr:colOff>
      <xdr:row>43</xdr:row>
      <xdr:rowOff>152399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36"/>
  <sheetViews>
    <sheetView tabSelected="1" topLeftCell="A19" workbookViewId="0">
      <selection activeCell="A37" sqref="A37"/>
    </sheetView>
  </sheetViews>
  <sheetFormatPr defaultRowHeight="15" x14ac:dyDescent="0.25"/>
  <cols>
    <col min="5" max="5" width="10.85546875" customWidth="1"/>
  </cols>
  <sheetData>
    <row r="1" spans="1:10" x14ac:dyDescent="0.25">
      <c r="A1" t="s">
        <v>41</v>
      </c>
    </row>
    <row r="2" spans="1:10" x14ac:dyDescent="0.25">
      <c r="A2" t="s">
        <v>64</v>
      </c>
    </row>
    <row r="3" spans="1:10" x14ac:dyDescent="0.25">
      <c r="A3" t="s">
        <v>47</v>
      </c>
    </row>
    <row r="4" spans="1:10" ht="14.45" customHeight="1" x14ac:dyDescent="0.25">
      <c r="B4" s="20"/>
      <c r="C4" s="20"/>
      <c r="D4" s="20"/>
      <c r="E4" s="20"/>
      <c r="F4" s="20"/>
      <c r="G4" s="20"/>
      <c r="H4" s="20"/>
      <c r="I4" s="20"/>
      <c r="J4" s="20"/>
    </row>
    <row r="5" spans="1:10" x14ac:dyDescent="0.25">
      <c r="A5" s="20" t="s">
        <v>65</v>
      </c>
      <c r="B5" s="20"/>
      <c r="C5" s="20"/>
      <c r="D5" s="20"/>
      <c r="E5" s="20"/>
      <c r="F5" s="20"/>
      <c r="G5" s="20"/>
      <c r="H5" s="20"/>
      <c r="I5" s="20"/>
      <c r="J5" s="20"/>
    </row>
    <row r="6" spans="1:10" x14ac:dyDescent="0.25">
      <c r="A6" s="20" t="s">
        <v>66</v>
      </c>
      <c r="B6" s="1"/>
      <c r="C6" s="1"/>
      <c r="D6" s="1"/>
      <c r="E6" s="1"/>
      <c r="F6" s="1"/>
      <c r="G6" s="1"/>
      <c r="H6" s="1"/>
      <c r="I6" s="1"/>
      <c r="J6" s="1"/>
    </row>
    <row r="11" spans="1:10" x14ac:dyDescent="0.25">
      <c r="A11" t="s">
        <v>49</v>
      </c>
    </row>
    <row r="12" spans="1:10" x14ac:dyDescent="0.25">
      <c r="A12" s="8" t="s">
        <v>43</v>
      </c>
      <c r="B12" s="8"/>
      <c r="C12" s="8"/>
      <c r="D12" s="8"/>
      <c r="E12" s="8"/>
    </row>
    <row r="14" spans="1:10" x14ac:dyDescent="0.25">
      <c r="A14" s="12" t="s">
        <v>44</v>
      </c>
      <c r="B14" s="12"/>
      <c r="C14" s="12"/>
      <c r="D14" s="12"/>
      <c r="E14" s="12"/>
    </row>
    <row r="15" spans="1:10" x14ac:dyDescent="0.25">
      <c r="A15" t="s">
        <v>45</v>
      </c>
    </row>
    <row r="17" spans="1:5" x14ac:dyDescent="0.25">
      <c r="A17" s="13" t="s">
        <v>48</v>
      </c>
      <c r="B17" s="13"/>
      <c r="C17" s="13"/>
      <c r="D17" s="13"/>
      <c r="E17" s="13"/>
    </row>
    <row r="19" spans="1:5" x14ac:dyDescent="0.25">
      <c r="A19" t="s">
        <v>50</v>
      </c>
    </row>
    <row r="20" spans="1:5" x14ac:dyDescent="0.25">
      <c r="A20" t="s">
        <v>51</v>
      </c>
    </row>
    <row r="23" spans="1:5" x14ac:dyDescent="0.25">
      <c r="A23" t="s">
        <v>42</v>
      </c>
    </row>
    <row r="24" spans="1:5" x14ac:dyDescent="0.25">
      <c r="A24" t="s">
        <v>52</v>
      </c>
    </row>
    <row r="25" spans="1:5" x14ac:dyDescent="0.25">
      <c r="A25" t="s">
        <v>53</v>
      </c>
    </row>
    <row r="26" spans="1:5" x14ac:dyDescent="0.25">
      <c r="A26" t="s">
        <v>54</v>
      </c>
    </row>
    <row r="27" spans="1:5" x14ac:dyDescent="0.25">
      <c r="A27" t="s">
        <v>55</v>
      </c>
    </row>
    <row r="30" spans="1:5" x14ac:dyDescent="0.25">
      <c r="A30" t="s">
        <v>56</v>
      </c>
    </row>
    <row r="31" spans="1:5" x14ac:dyDescent="0.25">
      <c r="A31" t="s">
        <v>58</v>
      </c>
    </row>
    <row r="32" spans="1:5" x14ac:dyDescent="0.25">
      <c r="A32" t="s">
        <v>57</v>
      </c>
    </row>
    <row r="33" spans="1:1" x14ac:dyDescent="0.25">
      <c r="A33" t="s">
        <v>59</v>
      </c>
    </row>
    <row r="34" spans="1:1" x14ac:dyDescent="0.25">
      <c r="A34" t="s">
        <v>60</v>
      </c>
    </row>
    <row r="35" spans="1:1" x14ac:dyDescent="0.25">
      <c r="A35" t="s">
        <v>61</v>
      </c>
    </row>
    <row r="36" spans="1:1" x14ac:dyDescent="0.25">
      <c r="A36" t="s">
        <v>62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O26"/>
  <sheetViews>
    <sheetView workbookViewId="0">
      <selection activeCell="K7" sqref="K7"/>
    </sheetView>
  </sheetViews>
  <sheetFormatPr defaultRowHeight="15" x14ac:dyDescent="0.25"/>
  <cols>
    <col min="1" max="1" width="12.5703125" customWidth="1"/>
    <col min="2" max="6" width="11.5703125" customWidth="1"/>
    <col min="14" max="14" width="11" customWidth="1"/>
  </cols>
  <sheetData>
    <row r="1" spans="1:15" ht="18.75" x14ac:dyDescent="0.3">
      <c r="A1" s="21" t="s">
        <v>63</v>
      </c>
      <c r="B1" s="21"/>
      <c r="C1" s="21"/>
    </row>
    <row r="4" spans="1:15" x14ac:dyDescent="0.25">
      <c r="B4" s="6" t="s">
        <v>1</v>
      </c>
      <c r="C4" s="6" t="s">
        <v>2</v>
      </c>
      <c r="D4" s="6" t="s">
        <v>3</v>
      </c>
      <c r="E4" s="6" t="s">
        <v>4</v>
      </c>
      <c r="F4" s="6" t="s">
        <v>5</v>
      </c>
    </row>
    <row r="5" spans="1:15" ht="15.6" customHeight="1" x14ac:dyDescent="0.25">
      <c r="A5" s="3" t="s">
        <v>0</v>
      </c>
      <c r="B5" s="4"/>
      <c r="C5" s="4"/>
      <c r="D5" s="4"/>
      <c r="E5" s="4"/>
      <c r="F5" s="4"/>
      <c r="G5" t="s">
        <v>23</v>
      </c>
    </row>
    <row r="6" spans="1:15" ht="15.6" customHeight="1" x14ac:dyDescent="0.25">
      <c r="A6" s="3" t="s">
        <v>6</v>
      </c>
      <c r="B6" s="4"/>
      <c r="C6" s="4"/>
      <c r="D6" s="4"/>
      <c r="E6" s="4"/>
      <c r="F6" s="4"/>
      <c r="G6" t="s">
        <v>30</v>
      </c>
    </row>
    <row r="9" spans="1:15" x14ac:dyDescent="0.25">
      <c r="A9" t="s">
        <v>7</v>
      </c>
    </row>
    <row r="10" spans="1:15" x14ac:dyDescent="0.25">
      <c r="B10" s="6" t="s">
        <v>1</v>
      </c>
      <c r="C10" s="6" t="s">
        <v>2</v>
      </c>
      <c r="D10" s="6" t="s">
        <v>3</v>
      </c>
      <c r="E10" s="6" t="s">
        <v>4</v>
      </c>
    </row>
    <row r="11" spans="1:15" ht="28.9" customHeight="1" x14ac:dyDescent="0.25">
      <c r="A11" s="1" t="s">
        <v>8</v>
      </c>
      <c r="B11" s="7" t="str">
        <f>IF(ISBLANK($B$5)," ",IF(ISBLANK($C$5)," ",IF(ISBLANK($D$5)," ",IF(ISBLANK($E$5)," ",IF(ISBLANK($F$5)," ",Calculations!I3)))))</f>
        <v xml:space="preserve"> </v>
      </c>
      <c r="C11" s="7" t="str">
        <f>IF(ISBLANK($B$5)," ",IF(ISBLANK($C$5)," ",IF(ISBLANK($D$5)," ",IF(ISBLANK($E$5)," ",IF(ISBLANK($F$5)," ",Calculations!I8)))))</f>
        <v xml:space="preserve"> </v>
      </c>
      <c r="D11" s="7" t="str">
        <f>IF(ISBLANK($B$5)," ",IF(ISBLANK($C$5)," ",IF(ISBLANK($D$5)," ",IF(ISBLANK($E$5)," ",IF(ISBLANK($F$5)," ",Calculations!I13)))))</f>
        <v xml:space="preserve"> </v>
      </c>
      <c r="E11" s="7" t="str">
        <f>IF(ISBLANK($B$5)," ",IF(ISBLANK($C$5)," ",IF(ISBLANK($D$5)," ",IF(ISBLANK($E$5)," ",IF(ISBLANK($F$5)," ",Calculations!I18)))))</f>
        <v xml:space="preserve"> </v>
      </c>
      <c r="F11" t="s">
        <v>24</v>
      </c>
    </row>
    <row r="12" spans="1:15" ht="28.5" customHeight="1" x14ac:dyDescent="0.25">
      <c r="A12" s="1" t="s">
        <v>38</v>
      </c>
      <c r="B12" s="16" t="str">
        <f>IF(ISBLANK($B$5)," ",IF(ISBLANK($C$5)," ",IF(ISBLANK($D$5)," ",IF(ISBLANK($E$5)," ",IF(ISBLANK($F$5)," ",Calculations!B27)))))</f>
        <v xml:space="preserve"> </v>
      </c>
      <c r="C12" s="16" t="str">
        <f>IF(ISBLANK($B$5)," ",IF(ISBLANK($C$5)," ",IF(ISBLANK($D$5)," ",IF(ISBLANK($E$5)," ",IF(ISBLANK($F$5)," ",Calculations!B28)))))</f>
        <v xml:space="preserve"> </v>
      </c>
      <c r="D12" s="16" t="str">
        <f>IF(ISBLANK($B$5)," ",IF(ISBLANK($C$5)," ",IF(ISBLANK($D$5)," ",IF(ISBLANK($E$5)," ",IF(ISBLANK($F$5)," ",Calculations!B29)))))</f>
        <v xml:space="preserve"> </v>
      </c>
      <c r="E12" s="16" t="str">
        <f>IF(ISBLANK($B$5)," ",IF(ISBLANK($C$5)," ",IF(ISBLANK($D$5)," ",IF(ISBLANK($E$5)," ",IF(ISBLANK($F$5)," ",Calculations!B30)))))</f>
        <v xml:space="preserve"> </v>
      </c>
      <c r="F12" t="s">
        <v>39</v>
      </c>
    </row>
    <row r="15" spans="1:15" x14ac:dyDescent="0.25">
      <c r="B15" s="11" t="s">
        <v>37</v>
      </c>
      <c r="C15" s="10"/>
      <c r="D15" s="10"/>
      <c r="J15" s="11" t="s">
        <v>40</v>
      </c>
      <c r="K15" s="11"/>
      <c r="L15" s="11"/>
    </row>
    <row r="16" spans="1:15" x14ac:dyDescent="0.25">
      <c r="B16" s="3"/>
      <c r="C16" s="3" t="s">
        <v>1</v>
      </c>
      <c r="D16" s="3" t="s">
        <v>2</v>
      </c>
      <c r="E16" s="3" t="s">
        <v>3</v>
      </c>
      <c r="F16" s="3" t="s">
        <v>4</v>
      </c>
      <c r="J16" s="3"/>
      <c r="K16" s="3" t="s">
        <v>1</v>
      </c>
      <c r="L16" s="3" t="s">
        <v>2</v>
      </c>
      <c r="M16" s="3" t="s">
        <v>3</v>
      </c>
      <c r="N16" s="19" t="s">
        <v>4</v>
      </c>
      <c r="O16" s="17" t="s">
        <v>46</v>
      </c>
    </row>
    <row r="17" spans="2:15" x14ac:dyDescent="0.25">
      <c r="B17" s="3" t="s">
        <v>25</v>
      </c>
      <c r="C17" s="3" t="str">
        <f>IF(ISBLANK('Graph Calculations'!B3)," ",'Graph Calculations'!B3)</f>
        <v xml:space="preserve"> </v>
      </c>
      <c r="D17" s="3" t="str">
        <f>IF(ISBLANK('Graph Calculations'!C3)," ",'Graph Calculations'!C3)</f>
        <v xml:space="preserve"> </v>
      </c>
      <c r="E17" s="3" t="str">
        <f>IF(ISBLANK('Graph Calculations'!D3)," ",'Graph Calculations'!D3)</f>
        <v xml:space="preserve"> </v>
      </c>
      <c r="F17" s="3" t="str">
        <f>IF(ISBLANK('Graph Calculations'!E3)," ",'Graph Calculations'!E3)</f>
        <v xml:space="preserve"> </v>
      </c>
      <c r="J17" s="3" t="s">
        <v>25</v>
      </c>
      <c r="K17" s="3" t="str">
        <f>IF(ISBLANK('Graph Calculations'!K3)," ",'Graph Calculations'!K3)</f>
        <v xml:space="preserve"> </v>
      </c>
      <c r="L17" s="3" t="str">
        <f>IF(ISBLANK('Graph Calculations'!L3)," ",'Graph Calculations'!L3)</f>
        <v xml:space="preserve"> </v>
      </c>
      <c r="M17" s="3" t="str">
        <f>IF(ISBLANK('Graph Calculations'!M3)," ",'Graph Calculations'!M3)</f>
        <v xml:space="preserve"> </v>
      </c>
      <c r="N17" s="19" t="str">
        <f>IF(ISBLANK('Graph Calculations'!N3)," ",'Graph Calculations'!N3)</f>
        <v xml:space="preserve"> </v>
      </c>
      <c r="O17" s="18">
        <f>SUM(K17:N17)</f>
        <v>0</v>
      </c>
    </row>
    <row r="18" spans="2:15" x14ac:dyDescent="0.25">
      <c r="B18" s="3" t="s">
        <v>26</v>
      </c>
      <c r="C18" s="3" t="str">
        <f>IF(ISBLANK('Graph Calculations'!B4)," ",'Graph Calculations'!B4)</f>
        <v xml:space="preserve"> </v>
      </c>
      <c r="D18" s="3" t="str">
        <f>IF(ISBLANK('Graph Calculations'!C4)," ",'Graph Calculations'!C4)</f>
        <v xml:space="preserve"> </v>
      </c>
      <c r="E18" s="3" t="str">
        <f>IF(ISBLANK('Graph Calculations'!D4)," ",'Graph Calculations'!D4)</f>
        <v xml:space="preserve"> </v>
      </c>
      <c r="F18" s="3" t="str">
        <f>IF(ISBLANK('Graph Calculations'!E4)," ",'Graph Calculations'!E4)</f>
        <v xml:space="preserve"> </v>
      </c>
      <c r="J18" s="3" t="s">
        <v>26</v>
      </c>
      <c r="K18" s="3" t="str">
        <f>IF(ISBLANK('Graph Calculations'!K4)," ",'Graph Calculations'!K4)</f>
        <v xml:space="preserve"> </v>
      </c>
      <c r="L18" s="3" t="str">
        <f>IF(ISBLANK('Graph Calculations'!L4)," ",'Graph Calculations'!L4)</f>
        <v xml:space="preserve"> </v>
      </c>
      <c r="M18" s="3" t="str">
        <f>IF(ISBLANK('Graph Calculations'!M4)," ",'Graph Calculations'!M4)</f>
        <v xml:space="preserve"> </v>
      </c>
      <c r="N18" s="19" t="str">
        <f>IF(ISBLANK('Graph Calculations'!N4)," ",'Graph Calculations'!N4)</f>
        <v xml:space="preserve"> </v>
      </c>
      <c r="O18" s="18">
        <f t="shared" ref="O18:O26" si="0">SUM(K18:N18)</f>
        <v>0</v>
      </c>
    </row>
    <row r="19" spans="2:15" x14ac:dyDescent="0.25">
      <c r="B19" s="3" t="s">
        <v>27</v>
      </c>
      <c r="C19" s="3" t="str">
        <f>IF(ISBLANK('Graph Calculations'!B5)," ",'Graph Calculations'!B5)</f>
        <v xml:space="preserve"> </v>
      </c>
      <c r="D19" s="3" t="str">
        <f>IF(ISBLANK('Graph Calculations'!C5)," ",'Graph Calculations'!C5)</f>
        <v xml:space="preserve"> </v>
      </c>
      <c r="E19" s="3" t="str">
        <f>IF(ISBLANK('Graph Calculations'!D5)," ",'Graph Calculations'!D5)</f>
        <v xml:space="preserve"> </v>
      </c>
      <c r="F19" s="3" t="str">
        <f>IF(ISBLANK('Graph Calculations'!E5)," ",'Graph Calculations'!E5)</f>
        <v xml:space="preserve"> </v>
      </c>
      <c r="J19" s="3" t="s">
        <v>27</v>
      </c>
      <c r="K19" s="3" t="str">
        <f>IF(ISBLANK('Graph Calculations'!K5)," ",'Graph Calculations'!K5)</f>
        <v xml:space="preserve"> </v>
      </c>
      <c r="L19" s="3" t="str">
        <f>IF(ISBLANK('Graph Calculations'!L5)," ",'Graph Calculations'!L5)</f>
        <v xml:space="preserve"> </v>
      </c>
      <c r="M19" s="3" t="str">
        <f>IF(ISBLANK('Graph Calculations'!M5)," ",'Graph Calculations'!M5)</f>
        <v xml:space="preserve"> </v>
      </c>
      <c r="N19" s="19" t="str">
        <f>IF(ISBLANK('Graph Calculations'!N5)," ",'Graph Calculations'!N5)</f>
        <v xml:space="preserve"> </v>
      </c>
      <c r="O19" s="18">
        <f t="shared" si="0"/>
        <v>0</v>
      </c>
    </row>
    <row r="20" spans="2:15" x14ac:dyDescent="0.25">
      <c r="B20" s="3" t="s">
        <v>28</v>
      </c>
      <c r="C20" s="3" t="str">
        <f>IF(ISBLANK('Graph Calculations'!B6)," ",'Graph Calculations'!B6)</f>
        <v xml:space="preserve"> </v>
      </c>
      <c r="D20" s="3" t="str">
        <f>IF(ISBLANK('Graph Calculations'!C6)," ",'Graph Calculations'!C6)</f>
        <v xml:space="preserve"> </v>
      </c>
      <c r="E20" s="3" t="str">
        <f>IF(ISBLANK('Graph Calculations'!D6)," ",'Graph Calculations'!D6)</f>
        <v xml:space="preserve"> </v>
      </c>
      <c r="F20" s="3" t="str">
        <f>IF(ISBLANK('Graph Calculations'!E6)," ",'Graph Calculations'!E6)</f>
        <v xml:space="preserve"> </v>
      </c>
      <c r="J20" s="3" t="s">
        <v>28</v>
      </c>
      <c r="K20" s="3" t="str">
        <f>IF(ISBLANK('Graph Calculations'!K6)," ",'Graph Calculations'!K6)</f>
        <v xml:space="preserve"> </v>
      </c>
      <c r="L20" s="3" t="str">
        <f>IF(ISBLANK('Graph Calculations'!L6)," ",'Graph Calculations'!L6)</f>
        <v xml:space="preserve"> </v>
      </c>
      <c r="M20" s="3" t="str">
        <f>IF(ISBLANK('Graph Calculations'!M6)," ",'Graph Calculations'!M6)</f>
        <v xml:space="preserve"> </v>
      </c>
      <c r="N20" s="19" t="str">
        <f>IF(ISBLANK('Graph Calculations'!N6)," ",'Graph Calculations'!N6)</f>
        <v xml:space="preserve"> </v>
      </c>
      <c r="O20" s="18">
        <f t="shared" si="0"/>
        <v>0</v>
      </c>
    </row>
    <row r="21" spans="2:15" x14ac:dyDescent="0.25">
      <c r="B21" s="3" t="s">
        <v>31</v>
      </c>
      <c r="C21" s="3" t="str">
        <f>IF(ISBLANK('Graph Calculations'!B7)," ",'Graph Calculations'!B7)</f>
        <v xml:space="preserve"> </v>
      </c>
      <c r="D21" s="3" t="str">
        <f>IF(ISBLANK('Graph Calculations'!C7)," ",'Graph Calculations'!C7)</f>
        <v xml:space="preserve"> </v>
      </c>
      <c r="E21" s="3" t="str">
        <f>IF(ISBLANK('Graph Calculations'!D7)," ",'Graph Calculations'!D7)</f>
        <v xml:space="preserve"> </v>
      </c>
      <c r="F21" s="3" t="str">
        <f>IF(ISBLANK('Graph Calculations'!E7)," ",'Graph Calculations'!E7)</f>
        <v xml:space="preserve"> </v>
      </c>
      <c r="J21" s="3" t="s">
        <v>31</v>
      </c>
      <c r="K21" s="3" t="str">
        <f>IF(ISBLANK('Graph Calculations'!K7)," ",'Graph Calculations'!K7)</f>
        <v xml:space="preserve"> </v>
      </c>
      <c r="L21" s="3" t="str">
        <f>IF(ISBLANK('Graph Calculations'!L7)," ",'Graph Calculations'!L7)</f>
        <v xml:space="preserve"> </v>
      </c>
      <c r="M21" s="3" t="str">
        <f>IF(ISBLANK('Graph Calculations'!M7)," ",'Graph Calculations'!M7)</f>
        <v xml:space="preserve"> </v>
      </c>
      <c r="N21" s="19" t="str">
        <f>IF(ISBLANK('Graph Calculations'!N7)," ",'Graph Calculations'!N7)</f>
        <v xml:space="preserve"> </v>
      </c>
      <c r="O21" s="18">
        <f t="shared" si="0"/>
        <v>0</v>
      </c>
    </row>
    <row r="22" spans="2:15" x14ac:dyDescent="0.25">
      <c r="B22" s="3" t="s">
        <v>32</v>
      </c>
      <c r="C22" s="3" t="str">
        <f>IF(ISBLANK('Graph Calculations'!B8)," ",'Graph Calculations'!B8)</f>
        <v xml:space="preserve"> </v>
      </c>
      <c r="D22" s="3" t="str">
        <f>IF(ISBLANK('Graph Calculations'!C8)," ",'Graph Calculations'!C8)</f>
        <v xml:space="preserve"> </v>
      </c>
      <c r="E22" s="3" t="str">
        <f>IF(ISBLANK('Graph Calculations'!D8)," ",'Graph Calculations'!D8)</f>
        <v xml:space="preserve"> </v>
      </c>
      <c r="F22" s="3" t="str">
        <f>IF(ISBLANK('Graph Calculations'!E8)," ",'Graph Calculations'!E8)</f>
        <v xml:space="preserve"> </v>
      </c>
      <c r="J22" s="3" t="s">
        <v>32</v>
      </c>
      <c r="K22" s="3" t="str">
        <f>IF(ISBLANK('Graph Calculations'!K8)," ",'Graph Calculations'!K8)</f>
        <v xml:space="preserve"> </v>
      </c>
      <c r="L22" s="3" t="str">
        <f>IF(ISBLANK('Graph Calculations'!L8)," ",'Graph Calculations'!L8)</f>
        <v xml:space="preserve"> </v>
      </c>
      <c r="M22" s="3" t="str">
        <f>IF(ISBLANK('Graph Calculations'!M8)," ",'Graph Calculations'!M8)</f>
        <v xml:space="preserve"> </v>
      </c>
      <c r="N22" s="19" t="str">
        <f>IF(ISBLANK('Graph Calculations'!N8)," ",'Graph Calculations'!N8)</f>
        <v xml:space="preserve"> </v>
      </c>
      <c r="O22" s="18">
        <f t="shared" si="0"/>
        <v>0</v>
      </c>
    </row>
    <row r="23" spans="2:15" x14ac:dyDescent="0.25">
      <c r="B23" s="3" t="s">
        <v>33</v>
      </c>
      <c r="C23" s="3" t="str">
        <f>IF(ISBLANK('Graph Calculations'!B9)," ",'Graph Calculations'!B9)</f>
        <v xml:space="preserve"> </v>
      </c>
      <c r="D23" s="3" t="str">
        <f>IF(ISBLANK('Graph Calculations'!C9)," ",'Graph Calculations'!C9)</f>
        <v xml:space="preserve"> </v>
      </c>
      <c r="E23" s="3" t="str">
        <f>IF(ISBLANK('Graph Calculations'!D9)," ",'Graph Calculations'!D9)</f>
        <v xml:space="preserve"> </v>
      </c>
      <c r="F23" s="3" t="str">
        <f>IF(ISBLANK('Graph Calculations'!E9)," ",'Graph Calculations'!E9)</f>
        <v xml:space="preserve"> </v>
      </c>
      <c r="J23" s="3" t="s">
        <v>33</v>
      </c>
      <c r="K23" s="3" t="str">
        <f>IF(ISBLANK('Graph Calculations'!K9)," ",'Graph Calculations'!K9)</f>
        <v xml:space="preserve"> </v>
      </c>
      <c r="L23" s="3" t="str">
        <f>IF(ISBLANK('Graph Calculations'!L9)," ",'Graph Calculations'!L9)</f>
        <v xml:space="preserve"> </v>
      </c>
      <c r="M23" s="3" t="str">
        <f>IF(ISBLANK('Graph Calculations'!M9)," ",'Graph Calculations'!M9)</f>
        <v xml:space="preserve"> </v>
      </c>
      <c r="N23" s="19" t="str">
        <f>IF(ISBLANK('Graph Calculations'!N9)," ",'Graph Calculations'!N9)</f>
        <v xml:space="preserve"> </v>
      </c>
      <c r="O23" s="18">
        <f t="shared" si="0"/>
        <v>0</v>
      </c>
    </row>
    <row r="24" spans="2:15" x14ac:dyDescent="0.25">
      <c r="B24" s="3" t="s">
        <v>34</v>
      </c>
      <c r="C24" s="3" t="str">
        <f>IF(ISBLANK('Graph Calculations'!B10)," ",'Graph Calculations'!B10)</f>
        <v xml:space="preserve"> </v>
      </c>
      <c r="D24" s="3" t="str">
        <f>IF(ISBLANK('Graph Calculations'!C10)," ",'Graph Calculations'!C10)</f>
        <v xml:space="preserve"> </v>
      </c>
      <c r="E24" s="3" t="str">
        <f>IF(ISBLANK('Graph Calculations'!D10)," ",'Graph Calculations'!D10)</f>
        <v xml:space="preserve"> </v>
      </c>
      <c r="F24" s="3" t="str">
        <f>IF(ISBLANK('Graph Calculations'!E10)," ",'Graph Calculations'!E10)</f>
        <v xml:space="preserve"> </v>
      </c>
      <c r="J24" s="3" t="s">
        <v>34</v>
      </c>
      <c r="K24" s="3" t="str">
        <f>IF(ISBLANK('Graph Calculations'!K10)," ",'Graph Calculations'!K10)</f>
        <v xml:space="preserve"> </v>
      </c>
      <c r="L24" s="3" t="str">
        <f>IF(ISBLANK('Graph Calculations'!L10)," ",'Graph Calculations'!L10)</f>
        <v xml:space="preserve"> </v>
      </c>
      <c r="M24" s="3" t="str">
        <f>IF(ISBLANK('Graph Calculations'!M10)," ",'Graph Calculations'!M10)</f>
        <v xml:space="preserve"> </v>
      </c>
      <c r="N24" s="19" t="str">
        <f>IF(ISBLANK('Graph Calculations'!N10)," ",'Graph Calculations'!N10)</f>
        <v xml:space="preserve"> </v>
      </c>
      <c r="O24" s="18">
        <f t="shared" si="0"/>
        <v>0</v>
      </c>
    </row>
    <row r="25" spans="2:15" x14ac:dyDescent="0.25">
      <c r="B25" s="3" t="s">
        <v>35</v>
      </c>
      <c r="C25" s="3" t="str">
        <f>IF(ISBLANK('Graph Calculations'!B11)," ",'Graph Calculations'!B11)</f>
        <v xml:space="preserve"> </v>
      </c>
      <c r="D25" s="3" t="str">
        <f>IF(ISBLANK('Graph Calculations'!C11)," ",'Graph Calculations'!C11)</f>
        <v xml:space="preserve"> </v>
      </c>
      <c r="E25" s="3" t="str">
        <f>IF(ISBLANK('Graph Calculations'!D11)," ",'Graph Calculations'!D11)</f>
        <v xml:space="preserve"> </v>
      </c>
      <c r="F25" s="3" t="str">
        <f>IF(ISBLANK('Graph Calculations'!E11)," ",'Graph Calculations'!E11)</f>
        <v xml:space="preserve"> </v>
      </c>
      <c r="J25" s="3" t="s">
        <v>35</v>
      </c>
      <c r="K25" s="3" t="str">
        <f>IF(ISBLANK('Graph Calculations'!K11)," ",'Graph Calculations'!K11)</f>
        <v xml:space="preserve"> </v>
      </c>
      <c r="L25" s="3" t="str">
        <f>IF(ISBLANK('Graph Calculations'!L11)," ",'Graph Calculations'!L11)</f>
        <v xml:space="preserve"> </v>
      </c>
      <c r="M25" s="3" t="str">
        <f>IF(ISBLANK('Graph Calculations'!M11)," ",'Graph Calculations'!M11)</f>
        <v xml:space="preserve"> </v>
      </c>
      <c r="N25" s="19" t="str">
        <f>IF(ISBLANK('Graph Calculations'!N11)," ",'Graph Calculations'!N11)</f>
        <v xml:space="preserve"> </v>
      </c>
      <c r="O25" s="18">
        <f t="shared" si="0"/>
        <v>0</v>
      </c>
    </row>
    <row r="26" spans="2:15" x14ac:dyDescent="0.25">
      <c r="B26" s="9" t="s">
        <v>36</v>
      </c>
      <c r="C26" s="3" t="str">
        <f>IF(ISBLANK('Graph Calculations'!B12)," ",'Graph Calculations'!B12)</f>
        <v xml:space="preserve"> </v>
      </c>
      <c r="D26" s="3" t="str">
        <f>IF(ISBLANK('Graph Calculations'!C12)," ",'Graph Calculations'!C12)</f>
        <v xml:space="preserve"> </v>
      </c>
      <c r="E26" s="3" t="str">
        <f>IF(ISBLANK('Graph Calculations'!D12)," ",'Graph Calculations'!D12)</f>
        <v xml:space="preserve"> </v>
      </c>
      <c r="F26" s="3" t="str">
        <f>IF(ISBLANK('Graph Calculations'!E12)," ",'Graph Calculations'!E12)</f>
        <v xml:space="preserve"> </v>
      </c>
      <c r="J26" s="9" t="s">
        <v>36</v>
      </c>
      <c r="K26" s="3" t="str">
        <f>IF(ISBLANK('Graph Calculations'!K12)," ",'Graph Calculations'!K12)</f>
        <v xml:space="preserve"> </v>
      </c>
      <c r="L26" s="3" t="str">
        <f>IF(ISBLANK('Graph Calculations'!L12)," ",'Graph Calculations'!L12)</f>
        <v xml:space="preserve"> </v>
      </c>
      <c r="M26" s="3" t="str">
        <f>IF(ISBLANK('Graph Calculations'!M12)," ",'Graph Calculations'!M12)</f>
        <v xml:space="preserve"> </v>
      </c>
      <c r="N26" s="19" t="str">
        <f>IF(ISBLANK('Graph Calculations'!N12)," ",'Graph Calculations'!N12)</f>
        <v xml:space="preserve"> </v>
      </c>
      <c r="O26" s="18">
        <f t="shared" si="0"/>
        <v>0</v>
      </c>
    </row>
  </sheetData>
  <protectedRanges>
    <protectedRange sqref="B5:F6" name="Range1"/>
  </protectedRanges>
  <mergeCells count="1">
    <mergeCell ref="A1:C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Sheet2.Track">
                <anchor moveWithCells="1" sizeWithCells="1">
                  <from>
                    <xdr:col>7</xdr:col>
                    <xdr:colOff>152400</xdr:colOff>
                    <xdr:row>7</xdr:row>
                    <xdr:rowOff>66675</xdr:rowOff>
                  </from>
                  <to>
                    <xdr:col>9</xdr:col>
                    <xdr:colOff>219075</xdr:colOff>
                    <xdr:row>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Sheet2.CleanTrack">
                <anchor moveWithCells="1">
                  <from>
                    <xdr:col>10</xdr:col>
                    <xdr:colOff>190500</xdr:colOff>
                    <xdr:row>7</xdr:row>
                    <xdr:rowOff>47625</xdr:rowOff>
                  </from>
                  <to>
                    <xdr:col>12</xdr:col>
                    <xdr:colOff>381000</xdr:colOff>
                    <xdr:row>9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W30"/>
  <sheetViews>
    <sheetView workbookViewId="0">
      <selection activeCell="A3" sqref="A3"/>
    </sheetView>
  </sheetViews>
  <sheetFormatPr defaultRowHeight="15" x14ac:dyDescent="0.25"/>
  <cols>
    <col min="9" max="9" width="12" bestFit="1" customWidth="1"/>
  </cols>
  <sheetData>
    <row r="1" spans="1:23" x14ac:dyDescent="0.25">
      <c r="A1" t="s">
        <v>10</v>
      </c>
      <c r="B1" t="s">
        <v>19</v>
      </c>
      <c r="Q1" s="14"/>
      <c r="R1" s="14"/>
      <c r="S1" s="14"/>
      <c r="T1" s="14"/>
      <c r="U1" s="14"/>
      <c r="V1" s="14"/>
      <c r="W1" s="14"/>
    </row>
    <row r="2" spans="1:23" x14ac:dyDescent="0.25">
      <c r="A2" t="s">
        <v>11</v>
      </c>
      <c r="B2" t="s">
        <v>9</v>
      </c>
      <c r="C2" t="s">
        <v>12</v>
      </c>
      <c r="D2" t="s">
        <v>13</v>
      </c>
      <c r="E2" t="s">
        <v>14</v>
      </c>
      <c r="F2" t="s">
        <v>15</v>
      </c>
      <c r="H2" t="s">
        <v>21</v>
      </c>
      <c r="I2" s="5" t="s">
        <v>22</v>
      </c>
      <c r="Q2" s="14"/>
      <c r="R2" s="14"/>
      <c r="S2" s="14"/>
      <c r="T2" s="14"/>
      <c r="U2" s="14"/>
      <c r="V2" s="14"/>
      <c r="W2" s="14"/>
    </row>
    <row r="3" spans="1:23" x14ac:dyDescent="0.25">
      <c r="A3">
        <v>1.41804</v>
      </c>
      <c r="B3">
        <v>0.29348000000000002</v>
      </c>
      <c r="C3">
        <v>0.62636000000000003</v>
      </c>
      <c r="E3">
        <v>-0.10616</v>
      </c>
      <c r="H3">
        <f>(Home!$B$5*Calculations!B3)+(Home!$C$5 *Calculations!C3)+(Home!$D$5*Calculations!D3)+(Home!$E$5*Calculations!E3)+(Home!$F$5*Calculations!F3)+Calculations!A3</f>
        <v>1.41804</v>
      </c>
      <c r="I3" s="2">
        <f>10^(H3)</f>
        <v>26.184241628910165</v>
      </c>
      <c r="Q3" s="14"/>
      <c r="R3" s="14"/>
      <c r="S3" s="14"/>
      <c r="T3" s="14"/>
      <c r="U3" s="14"/>
      <c r="V3" s="14"/>
      <c r="W3" s="14"/>
    </row>
    <row r="4" spans="1:23" x14ac:dyDescent="0.25">
      <c r="Q4" s="14"/>
      <c r="R4" s="14"/>
      <c r="S4" s="14"/>
      <c r="T4" s="14"/>
      <c r="U4" s="14"/>
      <c r="V4" s="14"/>
      <c r="W4" s="14"/>
    </row>
    <row r="5" spans="1:23" x14ac:dyDescent="0.25">
      <c r="Q5" s="14"/>
      <c r="R5" s="14"/>
      <c r="S5" s="14"/>
      <c r="T5" s="14"/>
      <c r="U5" s="14"/>
      <c r="V5" s="14"/>
      <c r="W5" s="14"/>
    </row>
    <row r="6" spans="1:23" x14ac:dyDescent="0.25">
      <c r="A6" t="s">
        <v>16</v>
      </c>
      <c r="B6" t="s">
        <v>20</v>
      </c>
      <c r="Q6" s="14"/>
      <c r="R6" s="14"/>
      <c r="S6" s="14"/>
      <c r="T6" s="14"/>
      <c r="U6" s="14"/>
      <c r="V6" s="14"/>
      <c r="W6" s="14"/>
    </row>
    <row r="7" spans="1:23" x14ac:dyDescent="0.25">
      <c r="A7" t="s">
        <v>11</v>
      </c>
      <c r="B7" t="s">
        <v>9</v>
      </c>
      <c r="C7" t="s">
        <v>12</v>
      </c>
      <c r="D7" t="s">
        <v>13</v>
      </c>
      <c r="E7" t="s">
        <v>14</v>
      </c>
      <c r="F7" t="s">
        <v>15</v>
      </c>
      <c r="H7" t="s">
        <v>21</v>
      </c>
      <c r="I7" s="5" t="s">
        <v>22</v>
      </c>
      <c r="Q7" s="14"/>
      <c r="R7" s="14"/>
      <c r="S7" s="14"/>
      <c r="T7" s="14"/>
      <c r="U7" s="14"/>
      <c r="V7" s="14"/>
      <c r="W7" s="14"/>
    </row>
    <row r="8" spans="1:23" x14ac:dyDescent="0.25">
      <c r="A8">
        <v>8.7486999999999995</v>
      </c>
      <c r="B8">
        <v>1.0984</v>
      </c>
      <c r="D8">
        <v>0.68300000000000005</v>
      </c>
      <c r="E8">
        <v>-6.0865999999999998</v>
      </c>
      <c r="H8">
        <f>(Home!$B$5*Calculations!B8)+(Home!$C$5 *Calculations!C8)+(Home!$D$5*Calculations!D8)+(Home!$E$5*Calculations!E8)+(Home!$F$5*Calculations!F8)+Calculations!A8</f>
        <v>8.7486999999999995</v>
      </c>
      <c r="I8" s="2">
        <f>EXP(H8)</f>
        <v>6302.4895437699433</v>
      </c>
      <c r="Q8" s="14"/>
      <c r="R8" s="14"/>
      <c r="S8" s="14"/>
      <c r="T8" s="14"/>
      <c r="U8" s="14"/>
      <c r="V8" s="14"/>
      <c r="W8" s="14"/>
    </row>
    <row r="9" spans="1:23" x14ac:dyDescent="0.25">
      <c r="Q9" s="14"/>
      <c r="R9" s="14"/>
      <c r="S9" s="14"/>
      <c r="T9" s="14"/>
      <c r="U9" s="14"/>
      <c r="V9" s="14"/>
      <c r="W9" s="14"/>
    </row>
    <row r="10" spans="1:23" x14ac:dyDescent="0.25">
      <c r="Q10" s="14"/>
      <c r="R10" s="14"/>
      <c r="S10" s="14"/>
      <c r="T10" s="14"/>
      <c r="U10" s="14"/>
      <c r="V10" s="14"/>
      <c r="W10" s="14"/>
    </row>
    <row r="11" spans="1:23" x14ac:dyDescent="0.25">
      <c r="A11" t="s">
        <v>17</v>
      </c>
      <c r="B11" t="s">
        <v>19</v>
      </c>
      <c r="Q11" s="14"/>
      <c r="R11" s="14"/>
      <c r="S11" s="14"/>
      <c r="T11" s="14"/>
      <c r="U11" s="14"/>
      <c r="V11" s="14"/>
      <c r="W11" s="14"/>
    </row>
    <row r="12" spans="1:23" x14ac:dyDescent="0.25">
      <c r="A12" t="s">
        <v>11</v>
      </c>
      <c r="B12" t="s">
        <v>9</v>
      </c>
      <c r="C12" t="s">
        <v>12</v>
      </c>
      <c r="D12" t="s">
        <v>13</v>
      </c>
      <c r="E12" t="s">
        <v>14</v>
      </c>
      <c r="F12" t="s">
        <v>15</v>
      </c>
      <c r="H12" t="s">
        <v>21</v>
      </c>
      <c r="I12" s="5" t="s">
        <v>22</v>
      </c>
      <c r="Q12" s="14"/>
      <c r="R12" s="14"/>
      <c r="S12" s="14"/>
      <c r="T12" s="14"/>
      <c r="U12" s="14"/>
      <c r="V12" s="14"/>
      <c r="W12" s="14"/>
    </row>
    <row r="13" spans="1:23" x14ac:dyDescent="0.25">
      <c r="A13">
        <v>2.1103000000000001</v>
      </c>
      <c r="B13">
        <v>0.38279999999999997</v>
      </c>
      <c r="C13">
        <v>0.68720000000000003</v>
      </c>
      <c r="D13">
        <v>-0.56620000000000004</v>
      </c>
      <c r="E13">
        <v>-0.1608</v>
      </c>
      <c r="H13">
        <f>(Home!$B$5*Calculations!B13)+(Home!$C$5 *Calculations!C13)+(Home!$D$5*Calculations!D13)+(Home!$E$5*Calculations!E13)+(Home!$F$5*Calculations!F13)+Calculations!A13</f>
        <v>2.1103000000000001</v>
      </c>
      <c r="I13" s="2">
        <f>10^H13</f>
        <v>128.91397503856078</v>
      </c>
      <c r="Q13" s="14"/>
      <c r="R13" s="15"/>
      <c r="S13" s="14"/>
      <c r="T13" s="14"/>
      <c r="U13" s="14"/>
      <c r="V13" s="14"/>
      <c r="W13" s="14"/>
    </row>
    <row r="14" spans="1:23" x14ac:dyDescent="0.25">
      <c r="Q14" s="14"/>
      <c r="R14" s="14"/>
      <c r="S14" s="14"/>
      <c r="T14" s="14"/>
      <c r="U14" s="14"/>
      <c r="V14" s="14"/>
      <c r="W14" s="14"/>
    </row>
    <row r="15" spans="1:23" x14ac:dyDescent="0.25">
      <c r="Q15" s="14"/>
      <c r="R15" s="14"/>
      <c r="S15" s="14"/>
      <c r="T15" s="14"/>
      <c r="U15" s="14"/>
      <c r="V15" s="14"/>
      <c r="W15" s="14"/>
    </row>
    <row r="16" spans="1:23" x14ac:dyDescent="0.25">
      <c r="A16" t="s">
        <v>18</v>
      </c>
      <c r="B16" t="s">
        <v>20</v>
      </c>
    </row>
    <row r="17" spans="1:9" x14ac:dyDescent="0.25">
      <c r="A17" t="s">
        <v>11</v>
      </c>
      <c r="B17" t="s">
        <v>9</v>
      </c>
      <c r="C17" t="s">
        <v>12</v>
      </c>
      <c r="D17" t="s">
        <v>13</v>
      </c>
      <c r="E17" t="s">
        <v>14</v>
      </c>
      <c r="F17" t="s">
        <v>15</v>
      </c>
      <c r="H17" t="s">
        <v>21</v>
      </c>
      <c r="I17" s="5" t="s">
        <v>22</v>
      </c>
    </row>
    <row r="18" spans="1:9" x14ac:dyDescent="0.25">
      <c r="A18">
        <v>2.5749</v>
      </c>
      <c r="C18">
        <v>0.83230000000000004</v>
      </c>
      <c r="D18">
        <v>0.54379999999999995</v>
      </c>
      <c r="E18">
        <v>-0.47749999999999998</v>
      </c>
      <c r="H18">
        <f>(Home!$B$5*Calculations!B18)+(Home!$C$5 *Calculations!C18)+(Home!$D$5*Calculations!D18)+(Home!$E$5*Calculations!E18)+(Home!$F$5*Calculations!F18)+Calculations!A18</f>
        <v>2.5749</v>
      </c>
      <c r="I18" s="2">
        <f>EXP(H18)</f>
        <v>13.130004092428564</v>
      </c>
    </row>
    <row r="26" spans="1:9" x14ac:dyDescent="0.25">
      <c r="A26" t="s">
        <v>29</v>
      </c>
    </row>
    <row r="27" spans="1:9" x14ac:dyDescent="0.25">
      <c r="A27" t="s">
        <v>10</v>
      </c>
      <c r="B27" t="e">
        <f>(Home!B5*Home!B11)-(Home!B6*Home!B11)</f>
        <v>#VALUE!</v>
      </c>
    </row>
    <row r="28" spans="1:9" x14ac:dyDescent="0.25">
      <c r="A28" t="s">
        <v>16</v>
      </c>
      <c r="B28" t="e">
        <f>(Home!C5*Home!C11)-(Home!C6*Home!C11)</f>
        <v>#VALUE!</v>
      </c>
    </row>
    <row r="29" spans="1:9" x14ac:dyDescent="0.25">
      <c r="A29" t="s">
        <v>17</v>
      </c>
      <c r="B29" t="e">
        <f>(Home!D5*Home!D11)-(Home!D6*Home!D11)</f>
        <v>#VALUE!</v>
      </c>
    </row>
    <row r="30" spans="1:9" x14ac:dyDescent="0.25">
      <c r="A30" t="s">
        <v>18</v>
      </c>
      <c r="B30" t="e">
        <f>(Home!E5*Home!E11)-(Home!E6*Home!E11)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12"/>
  <sheetViews>
    <sheetView workbookViewId="0">
      <selection activeCell="K4" sqref="K4:N4"/>
    </sheetView>
  </sheetViews>
  <sheetFormatPr defaultRowHeight="15" x14ac:dyDescent="0.25"/>
  <sheetData>
    <row r="1" spans="1:15" x14ac:dyDescent="0.25">
      <c r="A1" s="11" t="s">
        <v>37</v>
      </c>
      <c r="B1" s="10"/>
      <c r="C1" s="10"/>
      <c r="J1" s="11" t="s">
        <v>40</v>
      </c>
      <c r="K1" s="11"/>
      <c r="L1" s="11"/>
    </row>
    <row r="2" spans="1:15" x14ac:dyDescent="0.25">
      <c r="A2" s="3"/>
      <c r="B2" s="3" t="s">
        <v>1</v>
      </c>
      <c r="C2" s="3" t="s">
        <v>2</v>
      </c>
      <c r="D2" s="3" t="s">
        <v>3</v>
      </c>
      <c r="E2" s="3" t="s">
        <v>4</v>
      </c>
      <c r="F2" s="3" t="s">
        <v>5</v>
      </c>
      <c r="J2" s="3"/>
      <c r="K2" s="3" t="s">
        <v>1</v>
      </c>
      <c r="L2" s="3" t="s">
        <v>2</v>
      </c>
      <c r="M2" s="3" t="s">
        <v>3</v>
      </c>
      <c r="N2" s="3" t="s">
        <v>4</v>
      </c>
      <c r="O2" s="3" t="s">
        <v>5</v>
      </c>
    </row>
    <row r="3" spans="1:15" x14ac:dyDescent="0.25">
      <c r="A3" s="3" t="s">
        <v>25</v>
      </c>
      <c r="B3" s="3"/>
      <c r="C3" s="3"/>
      <c r="D3" s="3"/>
      <c r="E3" s="3"/>
      <c r="F3" s="3"/>
      <c r="J3" s="3" t="s">
        <v>25</v>
      </c>
      <c r="K3" s="3"/>
      <c r="L3" s="3"/>
      <c r="M3" s="3"/>
      <c r="N3" s="3"/>
      <c r="O3" s="3"/>
    </row>
    <row r="4" spans="1:15" x14ac:dyDescent="0.25">
      <c r="A4" s="3" t="s">
        <v>26</v>
      </c>
      <c r="B4" s="3"/>
      <c r="C4" s="3"/>
      <c r="D4" s="3"/>
      <c r="E4" s="3"/>
      <c r="F4" s="3"/>
      <c r="J4" s="3" t="s">
        <v>26</v>
      </c>
      <c r="K4" s="3"/>
      <c r="L4" s="3"/>
      <c r="M4" s="3"/>
      <c r="N4" s="3"/>
      <c r="O4" s="3"/>
    </row>
    <row r="5" spans="1:15" x14ac:dyDescent="0.25">
      <c r="A5" s="3" t="s">
        <v>27</v>
      </c>
      <c r="B5" s="3"/>
      <c r="C5" s="3"/>
      <c r="D5" s="3"/>
      <c r="E5" s="3"/>
      <c r="F5" s="3"/>
      <c r="J5" s="3" t="s">
        <v>27</v>
      </c>
      <c r="K5" s="3"/>
      <c r="L5" s="3"/>
      <c r="M5" s="3"/>
      <c r="N5" s="3"/>
      <c r="O5" s="3"/>
    </row>
    <row r="6" spans="1:15" x14ac:dyDescent="0.25">
      <c r="A6" s="3" t="s">
        <v>28</v>
      </c>
      <c r="B6" s="3"/>
      <c r="C6" s="3"/>
      <c r="D6" s="3"/>
      <c r="E6" s="3"/>
      <c r="F6" s="3"/>
      <c r="J6" s="3" t="s">
        <v>28</v>
      </c>
      <c r="K6" s="3"/>
      <c r="L6" s="3"/>
      <c r="M6" s="3"/>
      <c r="N6" s="3"/>
      <c r="O6" s="3"/>
    </row>
    <row r="7" spans="1:15" x14ac:dyDescent="0.25">
      <c r="A7" s="3" t="s">
        <v>31</v>
      </c>
      <c r="B7" s="3"/>
      <c r="C7" s="3"/>
      <c r="D7" s="3"/>
      <c r="E7" s="3"/>
      <c r="F7" s="3"/>
      <c r="J7" s="3" t="s">
        <v>31</v>
      </c>
      <c r="K7" s="3"/>
      <c r="L7" s="3"/>
      <c r="M7" s="3"/>
      <c r="N7" s="3"/>
      <c r="O7" s="3"/>
    </row>
    <row r="8" spans="1:15" x14ac:dyDescent="0.25">
      <c r="A8" s="3" t="s">
        <v>32</v>
      </c>
      <c r="B8" s="3"/>
      <c r="C8" s="3"/>
      <c r="D8" s="3"/>
      <c r="E8" s="3"/>
      <c r="F8" s="3"/>
      <c r="J8" s="3" t="s">
        <v>32</v>
      </c>
      <c r="K8" s="3"/>
      <c r="L8" s="3"/>
      <c r="M8" s="3"/>
      <c r="N8" s="3"/>
      <c r="O8" s="3"/>
    </row>
    <row r="9" spans="1:15" x14ac:dyDescent="0.25">
      <c r="A9" s="3" t="s">
        <v>33</v>
      </c>
      <c r="B9" s="3"/>
      <c r="C9" s="3"/>
      <c r="D9" s="3"/>
      <c r="E9" s="3"/>
      <c r="F9" s="3"/>
      <c r="J9" s="3" t="s">
        <v>33</v>
      </c>
      <c r="K9" s="3"/>
      <c r="L9" s="3"/>
      <c r="M9" s="3"/>
      <c r="N9" s="3"/>
      <c r="O9" s="3"/>
    </row>
    <row r="10" spans="1:15" x14ac:dyDescent="0.25">
      <c r="A10" s="3" t="s">
        <v>34</v>
      </c>
      <c r="B10" s="3"/>
      <c r="C10" s="3"/>
      <c r="D10" s="3"/>
      <c r="E10" s="3"/>
      <c r="F10" s="3"/>
      <c r="J10" s="3" t="s">
        <v>34</v>
      </c>
      <c r="K10" s="3"/>
      <c r="L10" s="3"/>
      <c r="M10" s="3"/>
      <c r="N10" s="3"/>
      <c r="O10" s="3"/>
    </row>
    <row r="11" spans="1:15" x14ac:dyDescent="0.25">
      <c r="A11" s="3" t="s">
        <v>35</v>
      </c>
      <c r="B11" s="3"/>
      <c r="C11" s="3"/>
      <c r="D11" s="3"/>
      <c r="E11" s="3"/>
      <c r="F11" s="3"/>
      <c r="J11" s="3" t="s">
        <v>35</v>
      </c>
      <c r="K11" s="3"/>
      <c r="L11" s="3"/>
      <c r="M11" s="3"/>
      <c r="N11" s="3"/>
      <c r="O11" s="3"/>
    </row>
    <row r="12" spans="1:15" x14ac:dyDescent="0.25">
      <c r="A12" s="9" t="s">
        <v>36</v>
      </c>
      <c r="B12" s="3"/>
      <c r="C12" s="3"/>
      <c r="D12" s="3"/>
      <c r="E12" s="3"/>
      <c r="F12" s="3"/>
      <c r="J12" s="9" t="s">
        <v>36</v>
      </c>
      <c r="K12" s="3"/>
      <c r="L12" s="3"/>
      <c r="M12" s="3"/>
      <c r="N12" s="3"/>
      <c r="O12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Background Information</vt:lpstr>
      <vt:lpstr>Home</vt:lpstr>
      <vt:lpstr>Calculations</vt:lpstr>
      <vt:lpstr>Graph Calculations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Kate McCoy</dc:creator>
  <cp:lastModifiedBy>Windows User</cp:lastModifiedBy>
  <dcterms:created xsi:type="dcterms:W3CDTF">2017-03-09T03:08:53Z</dcterms:created>
  <dcterms:modified xsi:type="dcterms:W3CDTF">2017-04-19T12:11:45Z</dcterms:modified>
</cp:coreProperties>
</file>